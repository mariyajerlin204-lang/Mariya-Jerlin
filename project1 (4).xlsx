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730" windowHeight="11760"/>
  </bookViews>
  <sheets>
    <sheet name="Sheet4" sheetId="7" r:id="rId1"/>
    <sheet name="sheet2" sheetId="5" r:id="rId2"/>
    <sheet name="Sheet1" sheetId="1" r:id="rId3"/>
  </sheets>
  <calcPr calcId="191029"/>
  <pivotCaches>
    <pivotCache cacheId="0" r:id="rId4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/>
  <c r="D2"/>
  <c r="C2"/>
  <c r="A2"/>
  <c r="B2"/>
  <c r="N31" i="1" l="1"/>
  <c r="N30"/>
  <c r="N29"/>
  <c r="N28"/>
  <c r="J31"/>
  <c r="M31" s="1"/>
  <c r="K31"/>
  <c r="J30"/>
  <c r="M30" s="1"/>
  <c r="K30"/>
  <c r="J29"/>
  <c r="M29" s="1"/>
  <c r="K29"/>
  <c r="J28"/>
  <c r="M28" s="1"/>
  <c r="K28"/>
  <c r="N27"/>
  <c r="N26"/>
  <c r="N25"/>
  <c r="N24"/>
  <c r="N23"/>
  <c r="N22"/>
  <c r="J27"/>
  <c r="M27" s="1"/>
  <c r="K27"/>
  <c r="J26"/>
  <c r="M26" s="1"/>
  <c r="K26"/>
  <c r="J25"/>
  <c r="M25" s="1"/>
  <c r="K25"/>
  <c r="J24"/>
  <c r="M24" s="1"/>
  <c r="K24"/>
  <c r="J23"/>
  <c r="M23" s="1"/>
  <c r="K23"/>
  <c r="J22"/>
  <c r="M22" s="1"/>
  <c r="K2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"/>
  <c r="M10"/>
  <c r="M11"/>
  <c r="M12"/>
  <c r="M13"/>
  <c r="M3"/>
  <c r="M2"/>
  <c r="L6"/>
  <c r="L7"/>
  <c r="L11"/>
  <c r="L12"/>
  <c r="L13"/>
  <c r="L14"/>
  <c r="L15"/>
  <c r="L16"/>
  <c r="L17"/>
  <c r="L18"/>
  <c r="L19"/>
  <c r="L2"/>
  <c r="J3"/>
  <c r="L3" s="1"/>
  <c r="J4"/>
  <c r="L4" s="1"/>
  <c r="J5"/>
  <c r="M5" s="1"/>
  <c r="J6"/>
  <c r="M6" s="1"/>
  <c r="J7"/>
  <c r="M7" s="1"/>
  <c r="J8"/>
  <c r="L8" s="1"/>
  <c r="J9"/>
  <c r="L9" s="1"/>
  <c r="J10"/>
  <c r="L10" s="1"/>
  <c r="J11"/>
  <c r="J12"/>
  <c r="J13"/>
  <c r="J14"/>
  <c r="M14" s="1"/>
  <c r="J15"/>
  <c r="M15" s="1"/>
  <c r="J16"/>
  <c r="M16" s="1"/>
  <c r="J17"/>
  <c r="M17" s="1"/>
  <c r="J18"/>
  <c r="M18" s="1"/>
  <c r="J19"/>
  <c r="M19" s="1"/>
  <c r="J20"/>
  <c r="L20" s="1"/>
  <c r="J21"/>
  <c r="L21" s="1"/>
  <c r="J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"/>
  <c r="M21" l="1"/>
  <c r="M9"/>
  <c r="M20"/>
  <c r="L5"/>
  <c r="M4"/>
  <c r="M8"/>
  <c r="L31"/>
  <c r="L30"/>
  <c r="L29"/>
  <c r="L28"/>
  <c r="L27"/>
  <c r="L26"/>
  <c r="L25"/>
  <c r="L24"/>
  <c r="L23"/>
  <c r="L22"/>
</calcChain>
</file>

<file path=xl/sharedStrings.xml><?xml version="1.0" encoding="utf-8"?>
<sst xmlns="http://schemas.openxmlformats.org/spreadsheetml/2006/main" count="86" uniqueCount="60">
  <si>
    <t>Student_id</t>
  </si>
  <si>
    <t>Name</t>
  </si>
  <si>
    <t>Department</t>
  </si>
  <si>
    <t>Mark1</t>
  </si>
  <si>
    <t>Mark2</t>
  </si>
  <si>
    <t>Mark3</t>
  </si>
  <si>
    <t>Mark5</t>
  </si>
  <si>
    <t>Attendance</t>
  </si>
  <si>
    <t>Total Marks</t>
  </si>
  <si>
    <t>Average</t>
  </si>
  <si>
    <t>Result</t>
  </si>
  <si>
    <t>Grade</t>
  </si>
  <si>
    <t>Eligiblity</t>
  </si>
  <si>
    <t>jerlin</t>
  </si>
  <si>
    <t>merlin</t>
  </si>
  <si>
    <t>justin</t>
  </si>
  <si>
    <t>juli</t>
  </si>
  <si>
    <t>austin</t>
  </si>
  <si>
    <t>asmi</t>
  </si>
  <si>
    <t>levesia</t>
  </si>
  <si>
    <t>filo</t>
  </si>
  <si>
    <t>harish</t>
  </si>
  <si>
    <t>anu</t>
  </si>
  <si>
    <t>abi</t>
  </si>
  <si>
    <t>anafa</t>
  </si>
  <si>
    <t>mano</t>
  </si>
  <si>
    <t>kaiya</t>
  </si>
  <si>
    <t>manoj</t>
  </si>
  <si>
    <t>arun</t>
  </si>
  <si>
    <t>banu</t>
  </si>
  <si>
    <t>vera</t>
  </si>
  <si>
    <t>siva</t>
  </si>
  <si>
    <t>jai</t>
  </si>
  <si>
    <t>CSE</t>
  </si>
  <si>
    <t>ECE</t>
  </si>
  <si>
    <t>IT</t>
  </si>
  <si>
    <t>AIDS</t>
  </si>
  <si>
    <t>EEE</t>
  </si>
  <si>
    <t>Mark4</t>
  </si>
  <si>
    <t>Row Labels</t>
  </si>
  <si>
    <t>Grand Total</t>
  </si>
  <si>
    <t>kavin</t>
  </si>
  <si>
    <t>navin</t>
  </si>
  <si>
    <t>kumar</t>
  </si>
  <si>
    <t>tiya</t>
  </si>
  <si>
    <t>harini</t>
  </si>
  <si>
    <t>rina</t>
  </si>
  <si>
    <t>janu</t>
  </si>
  <si>
    <t>abinaya</t>
  </si>
  <si>
    <t>karthick</t>
  </si>
  <si>
    <t>ziya</t>
  </si>
  <si>
    <t>TOTAL STUDENT</t>
  </si>
  <si>
    <t>NO OF PASS</t>
  </si>
  <si>
    <t>NO OF FAIL</t>
  </si>
  <si>
    <t>AVERAGE ATTENDANCE</t>
  </si>
  <si>
    <t>TOP SCORER NAME</t>
  </si>
  <si>
    <t>Sum of TOTAL STUDENT</t>
  </si>
  <si>
    <t>Sum of NO OF PASS</t>
  </si>
  <si>
    <t>Sum of NO OF FAIL</t>
  </si>
  <si>
    <t>Sum of AVERAGE ATTENDANCE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</si>
</sst>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nus" refreshedDate="46061.570646527776" createdVersion="8" refreshedVersion="8" minRefreshableVersion="3" recordCount="1">
  <cacheSource type="worksheet">
    <worksheetSource ref="A1:E2" sheet="sheet2"/>
  </cacheSource>
  <cacheFields count="5">
    <cacheField name="TOTAL STUDENT" numFmtId="0">
      <sharedItems containsSemiMixedTypes="0" containsString="0" containsNumber="1" containsInteger="1" minValue="30" maxValue="30"/>
    </cacheField>
    <cacheField name="NO OF PASS" numFmtId="0">
      <sharedItems containsSemiMixedTypes="0" containsString="0" containsNumber="1" containsInteger="1" minValue="26" maxValue="26"/>
    </cacheField>
    <cacheField name="NO OF FAIL" numFmtId="0">
      <sharedItems containsSemiMixedTypes="0" containsString="0" containsNumber="1" containsInteger="1" minValue="4" maxValue="4"/>
    </cacheField>
    <cacheField name="AVERAGE ATTENDANCE" numFmtId="0">
      <sharedItems containsSemiMixedTypes="0" containsString="0" containsNumber="1" minValue="16.380000000000003" maxValue="16.380000000000003"/>
    </cacheField>
    <cacheField name="TOP SCORER NAME" numFmtId="0">
      <sharedItems count="1">
        <s v="aust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30"/>
    <n v="26"/>
    <n v="4"/>
    <n v="16.3800000000000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" firstHeaderRow="0" firstDataRow="1" firstDataCol="1"/>
  <pivotFields count="5">
    <pivotField dataField="1" showAll="0"/>
    <pivotField dataField="1" showAll="0"/>
    <pivotField dataField="1" showAll="0"/>
    <pivotField dataField="1" showAll="0"/>
    <pivotField axis="axisRow" showAll="0">
      <items count="2">
        <item x="0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TUDENT" fld="0" baseField="0" baseItem="0"/>
    <dataField name="Sum of NO OF PASS" fld="1" baseField="0" baseItem="0"/>
    <dataField name="Sum of NO OF FAIL" fld="2" baseField="0" baseItem="0"/>
    <dataField name="Sum of AVERAGE ATTENDANCE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selection activeCell="I8" sqref="I8"/>
    </sheetView>
  </sheetViews>
  <sheetFormatPr defaultRowHeight="15"/>
  <cols>
    <col min="1" max="1" width="12.5703125" bestFit="1" customWidth="1"/>
    <col min="2" max="2" width="21.5703125" bestFit="1" customWidth="1"/>
    <col min="3" max="3" width="17.7109375" bestFit="1" customWidth="1"/>
    <col min="4" max="4" width="16.85546875" bestFit="1" customWidth="1"/>
    <col min="5" max="5" width="27.7109375" bestFit="1" customWidth="1"/>
  </cols>
  <sheetData>
    <row r="3" spans="1:5">
      <c r="A3" s="2" t="s">
        <v>39</v>
      </c>
      <c r="B3" t="s">
        <v>56</v>
      </c>
      <c r="C3" t="s">
        <v>57</v>
      </c>
      <c r="D3" t="s">
        <v>58</v>
      </c>
      <c r="E3" t="s">
        <v>59</v>
      </c>
    </row>
    <row r="4" spans="1:5">
      <c r="A4" s="3" t="s">
        <v>17</v>
      </c>
      <c r="B4" s="4">
        <v>30</v>
      </c>
      <c r="C4" s="4">
        <v>26</v>
      </c>
      <c r="D4" s="4">
        <v>4</v>
      </c>
      <c r="E4" s="4">
        <v>16.380000000000003</v>
      </c>
    </row>
    <row r="5" spans="1:5">
      <c r="A5" s="3" t="s">
        <v>40</v>
      </c>
      <c r="B5" s="4">
        <v>30</v>
      </c>
      <c r="C5" s="4">
        <v>26</v>
      </c>
      <c r="D5" s="4">
        <v>4</v>
      </c>
      <c r="E5" s="4">
        <v>16.380000000000003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E2"/>
    </sheetView>
  </sheetViews>
  <sheetFormatPr defaultRowHeight="15"/>
  <cols>
    <col min="1" max="1" width="15.85546875" customWidth="1"/>
    <col min="2" max="2" width="14.42578125" customWidth="1"/>
    <col min="3" max="3" width="18.140625" customWidth="1"/>
    <col min="4" max="4" width="22" customWidth="1"/>
    <col min="5" max="5" width="17" bestFit="1" customWidth="1"/>
    <col min="6" max="6" width="8.28515625" customWidth="1"/>
    <col min="7" max="7" width="21.85546875" customWidth="1"/>
    <col min="8" max="8" width="13.7109375" customWidth="1"/>
    <col min="9" max="9" width="11.7109375" customWidth="1"/>
    <col min="10" max="10" width="15.28515625" customWidth="1"/>
    <col min="11" max="11" width="10.28515625" customWidth="1"/>
    <col min="12" max="12" width="11.42578125" customWidth="1"/>
    <col min="13" max="13" width="11.28515625" customWidth="1"/>
    <col min="14" max="14" width="12.85546875" customWidth="1"/>
    <col min="15" max="15" width="14.7109375" customWidth="1"/>
    <col min="16" max="16" width="16.28515625" customWidth="1"/>
    <col min="17" max="17" width="3" customWidth="1"/>
    <col min="18" max="18" width="10.42578125" customWidth="1"/>
    <col min="19" max="23" width="3" customWidth="1"/>
    <col min="24" max="24" width="4" customWidth="1"/>
    <col min="25" max="25" width="18.140625" bestFit="1" customWidth="1"/>
    <col min="26" max="28" width="5" customWidth="1"/>
    <col min="29" max="30" width="4" customWidth="1"/>
    <col min="31" max="35" width="5" customWidth="1"/>
    <col min="36" max="36" width="4" customWidth="1"/>
    <col min="37" max="38" width="5" customWidth="1"/>
    <col min="39" max="39" width="4" customWidth="1"/>
    <col min="40" max="41" width="5" customWidth="1"/>
    <col min="42" max="42" width="4" customWidth="1"/>
    <col min="43" max="43" width="5" customWidth="1"/>
    <col min="44" max="45" width="4" customWidth="1"/>
    <col min="46" max="47" width="5" customWidth="1"/>
    <col min="48" max="48" width="19.42578125" customWidth="1"/>
    <col min="49" max="49" width="23.140625" bestFit="1" customWidth="1"/>
  </cols>
  <sheetData>
    <row r="1" spans="1: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>
      <c r="A2">
        <f>COUNTA(Sheet1!A1:A30)</f>
        <v>30</v>
      </c>
      <c r="B2">
        <f>COUNTIF(Sheet1!L2:L31,"PASS")</f>
        <v>26</v>
      </c>
      <c r="C2">
        <f>COUNTIF(Sheet1!L2:L31,"FAIL")</f>
        <v>4</v>
      </c>
      <c r="D2">
        <f>AVERAGE(Sheet1!K2:K31)</f>
        <v>16.380000000000003</v>
      </c>
      <c r="E2" t="str">
        <f>INDEX(Sheet1!B2:B31,MATCH(MAX(Sheet1!J2:J31),Sheet1!J2:J31,0))</f>
        <v>austin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topLeftCell="A5" workbookViewId="0">
      <selection activeCell="AC24" sqref="AC22:AW24"/>
    </sheetView>
  </sheetViews>
  <sheetFormatPr defaultRowHeight="15"/>
  <cols>
    <col min="1" max="1" width="11.28515625" customWidth="1"/>
    <col min="3" max="3" width="11.42578125" bestFit="1" customWidth="1"/>
    <col min="9" max="10" width="11.140625" customWidth="1"/>
    <col min="14" max="14" width="1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101</v>
      </c>
      <c r="B2" t="s">
        <v>13</v>
      </c>
      <c r="C2" t="s">
        <v>37</v>
      </c>
      <c r="D2">
        <v>12</v>
      </c>
      <c r="E2">
        <v>20</v>
      </c>
      <c r="F2">
        <v>22</v>
      </c>
      <c r="G2">
        <v>22</v>
      </c>
      <c r="H2">
        <v>22</v>
      </c>
      <c r="I2" s="1">
        <v>0.75</v>
      </c>
      <c r="J2">
        <f>SUM(D2,E2,F2,H2,G2)</f>
        <v>98</v>
      </c>
      <c r="K2">
        <f>AVERAGE(D2,E2,F2,G2,H2)</f>
        <v>19.600000000000001</v>
      </c>
      <c r="L2" t="str">
        <f>IF(J2&gt;=60,"Pass","Fail")</f>
        <v>Pass</v>
      </c>
      <c r="M2" t="str">
        <f>IF(J2&gt;=85,"A",IF(J2&gt;=70,"B",IF(J2&gt;=50,"C","F")))</f>
        <v>A</v>
      </c>
      <c r="N2" t="str">
        <f>IF(I2&lt;75%,"Not Eligible","Eligible")</f>
        <v>Eligible</v>
      </c>
    </row>
    <row r="3" spans="1:14">
      <c r="A3">
        <v>102</v>
      </c>
      <c r="B3" t="s">
        <v>14</v>
      </c>
      <c r="C3" t="s">
        <v>34</v>
      </c>
      <c r="D3">
        <v>14</v>
      </c>
      <c r="E3">
        <v>20</v>
      </c>
      <c r="F3">
        <v>10</v>
      </c>
      <c r="G3">
        <v>10</v>
      </c>
      <c r="H3">
        <v>30</v>
      </c>
      <c r="I3" s="1">
        <v>0.6</v>
      </c>
      <c r="J3">
        <f t="shared" ref="J3:J31" si="0">SUM(D3,E3,F3,H3,G3)</f>
        <v>84</v>
      </c>
      <c r="K3">
        <f t="shared" ref="K3:K31" si="1">AVERAGE(D3,E3,F3,G3,H3)</f>
        <v>16.8</v>
      </c>
      <c r="L3" t="str">
        <f t="shared" ref="L3:L31" si="2">IF(J3&gt;=60,"Pass","Fail")</f>
        <v>Pass</v>
      </c>
      <c r="M3" t="str">
        <f>IF(J3&gt;=85,"A",IF(J3&gt;=70,"B",IF(J3&gt;=50,"C","F")))</f>
        <v>B</v>
      </c>
      <c r="N3" t="str">
        <f t="shared" ref="N3:N31" si="3">IF(I3&lt;75%,"Not Eligible","Eligible")</f>
        <v>Not Eligible</v>
      </c>
    </row>
    <row r="4" spans="1:14">
      <c r="A4">
        <v>103</v>
      </c>
      <c r="B4" t="s">
        <v>15</v>
      </c>
      <c r="C4" t="s">
        <v>35</v>
      </c>
      <c r="D4">
        <v>15</v>
      </c>
      <c r="E4">
        <v>22</v>
      </c>
      <c r="F4">
        <v>30</v>
      </c>
      <c r="G4">
        <v>12</v>
      </c>
      <c r="H4">
        <v>11</v>
      </c>
      <c r="I4" s="1">
        <v>0.8</v>
      </c>
      <c r="J4">
        <f t="shared" si="0"/>
        <v>90</v>
      </c>
      <c r="K4">
        <f t="shared" si="1"/>
        <v>18</v>
      </c>
      <c r="L4" t="str">
        <f t="shared" si="2"/>
        <v>Pass</v>
      </c>
      <c r="M4" t="str">
        <f t="shared" ref="M4:M31" si="4">IF(J4&gt;=85,"A",IF(J4&gt;=70,"B",IF(J4&gt;=50,"C","F")))</f>
        <v>A</v>
      </c>
      <c r="N4" t="str">
        <f t="shared" si="3"/>
        <v>Eligible</v>
      </c>
    </row>
    <row r="5" spans="1:14">
      <c r="A5">
        <v>104</v>
      </c>
      <c r="B5" t="s">
        <v>16</v>
      </c>
      <c r="C5" t="s">
        <v>36</v>
      </c>
      <c r="D5">
        <v>10</v>
      </c>
      <c r="E5">
        <v>10</v>
      </c>
      <c r="F5">
        <v>10</v>
      </c>
      <c r="G5">
        <v>10</v>
      </c>
      <c r="H5">
        <v>10</v>
      </c>
      <c r="I5" s="1">
        <v>0.45</v>
      </c>
      <c r="J5">
        <f t="shared" si="0"/>
        <v>50</v>
      </c>
      <c r="K5">
        <f t="shared" si="1"/>
        <v>10</v>
      </c>
      <c r="L5" t="str">
        <f t="shared" si="2"/>
        <v>Fail</v>
      </c>
      <c r="M5" t="str">
        <f t="shared" si="4"/>
        <v>C</v>
      </c>
      <c r="N5" t="str">
        <f t="shared" si="3"/>
        <v>Not Eligible</v>
      </c>
    </row>
    <row r="6" spans="1:14">
      <c r="A6">
        <v>105</v>
      </c>
      <c r="B6" t="s">
        <v>17</v>
      </c>
      <c r="C6" t="s">
        <v>37</v>
      </c>
      <c r="D6">
        <v>17</v>
      </c>
      <c r="E6">
        <v>26</v>
      </c>
      <c r="F6">
        <v>25</v>
      </c>
      <c r="G6">
        <v>22</v>
      </c>
      <c r="H6">
        <v>10</v>
      </c>
      <c r="I6" s="1">
        <v>0.5</v>
      </c>
      <c r="J6">
        <f t="shared" si="0"/>
        <v>100</v>
      </c>
      <c r="K6">
        <f t="shared" si="1"/>
        <v>20</v>
      </c>
      <c r="L6" t="str">
        <f t="shared" si="2"/>
        <v>Pass</v>
      </c>
      <c r="M6" t="str">
        <f t="shared" si="4"/>
        <v>A</v>
      </c>
      <c r="N6" t="str">
        <f t="shared" si="3"/>
        <v>Not Eligible</v>
      </c>
    </row>
    <row r="7" spans="1:14">
      <c r="A7">
        <v>106</v>
      </c>
      <c r="B7" t="s">
        <v>18</v>
      </c>
      <c r="C7" t="s">
        <v>35</v>
      </c>
      <c r="D7">
        <v>18</v>
      </c>
      <c r="E7">
        <v>27</v>
      </c>
      <c r="F7">
        <v>12</v>
      </c>
      <c r="G7">
        <v>22</v>
      </c>
      <c r="H7">
        <v>12</v>
      </c>
      <c r="I7" s="1">
        <v>0.65</v>
      </c>
      <c r="J7">
        <f t="shared" si="0"/>
        <v>91</v>
      </c>
      <c r="K7">
        <f t="shared" si="1"/>
        <v>18.2</v>
      </c>
      <c r="L7" t="str">
        <f t="shared" si="2"/>
        <v>Pass</v>
      </c>
      <c r="M7" t="str">
        <f t="shared" si="4"/>
        <v>A</v>
      </c>
      <c r="N7" t="str">
        <f t="shared" si="3"/>
        <v>Not Eligible</v>
      </c>
    </row>
    <row r="8" spans="1:14">
      <c r="A8">
        <v>107</v>
      </c>
      <c r="B8" t="s">
        <v>19</v>
      </c>
      <c r="C8" t="s">
        <v>36</v>
      </c>
      <c r="D8">
        <v>11</v>
      </c>
      <c r="E8">
        <v>11</v>
      </c>
      <c r="F8">
        <v>22</v>
      </c>
      <c r="G8">
        <v>21</v>
      </c>
      <c r="H8">
        <v>22</v>
      </c>
      <c r="I8" s="1">
        <v>0.35</v>
      </c>
      <c r="J8">
        <f t="shared" si="0"/>
        <v>87</v>
      </c>
      <c r="K8">
        <f t="shared" si="1"/>
        <v>17.399999999999999</v>
      </c>
      <c r="L8" t="str">
        <f t="shared" si="2"/>
        <v>Pass</v>
      </c>
      <c r="M8" t="str">
        <f t="shared" si="4"/>
        <v>A</v>
      </c>
      <c r="N8" t="str">
        <f t="shared" si="3"/>
        <v>Not Eligible</v>
      </c>
    </row>
    <row r="9" spans="1:14">
      <c r="A9">
        <v>108</v>
      </c>
      <c r="B9" t="s">
        <v>20</v>
      </c>
      <c r="C9" t="s">
        <v>34</v>
      </c>
      <c r="D9">
        <v>12</v>
      </c>
      <c r="E9">
        <v>21</v>
      </c>
      <c r="F9">
        <v>21</v>
      </c>
      <c r="G9">
        <v>22</v>
      </c>
      <c r="H9">
        <v>22</v>
      </c>
      <c r="I9" s="1">
        <v>0.55000000000000004</v>
      </c>
      <c r="J9">
        <f t="shared" si="0"/>
        <v>98</v>
      </c>
      <c r="K9">
        <f t="shared" si="1"/>
        <v>19.600000000000001</v>
      </c>
      <c r="L9" t="str">
        <f t="shared" si="2"/>
        <v>Pass</v>
      </c>
      <c r="M9" t="str">
        <f t="shared" si="4"/>
        <v>A</v>
      </c>
      <c r="N9" t="str">
        <f t="shared" si="3"/>
        <v>Not Eligible</v>
      </c>
    </row>
    <row r="10" spans="1:14">
      <c r="A10">
        <v>109</v>
      </c>
      <c r="B10" t="s">
        <v>21</v>
      </c>
      <c r="C10" t="s">
        <v>33</v>
      </c>
      <c r="D10">
        <v>13</v>
      </c>
      <c r="E10">
        <v>25</v>
      </c>
      <c r="F10">
        <v>13</v>
      </c>
      <c r="G10">
        <v>25</v>
      </c>
      <c r="H10">
        <v>13</v>
      </c>
      <c r="I10" s="1">
        <v>0.54</v>
      </c>
      <c r="J10">
        <f t="shared" si="0"/>
        <v>89</v>
      </c>
      <c r="K10">
        <f t="shared" si="1"/>
        <v>17.8</v>
      </c>
      <c r="L10" t="str">
        <f t="shared" si="2"/>
        <v>Pass</v>
      </c>
      <c r="M10" t="str">
        <f t="shared" si="4"/>
        <v>A</v>
      </c>
      <c r="N10" t="str">
        <f t="shared" si="3"/>
        <v>Not Eligible</v>
      </c>
    </row>
    <row r="11" spans="1:14">
      <c r="A11">
        <v>110</v>
      </c>
      <c r="B11" t="s">
        <v>22</v>
      </c>
      <c r="C11" t="s">
        <v>35</v>
      </c>
      <c r="D11">
        <v>15</v>
      </c>
      <c r="E11">
        <v>27</v>
      </c>
      <c r="F11">
        <v>10</v>
      </c>
      <c r="G11">
        <v>21</v>
      </c>
      <c r="H11">
        <v>26</v>
      </c>
      <c r="I11" s="1">
        <v>0.61</v>
      </c>
      <c r="J11">
        <f t="shared" si="0"/>
        <v>99</v>
      </c>
      <c r="K11">
        <f t="shared" si="1"/>
        <v>19.8</v>
      </c>
      <c r="L11" t="str">
        <f t="shared" si="2"/>
        <v>Pass</v>
      </c>
      <c r="M11" t="str">
        <f t="shared" si="4"/>
        <v>A</v>
      </c>
      <c r="N11" t="str">
        <f t="shared" si="3"/>
        <v>Not Eligible</v>
      </c>
    </row>
    <row r="12" spans="1:14">
      <c r="A12">
        <v>111</v>
      </c>
      <c r="B12" t="s">
        <v>23</v>
      </c>
      <c r="C12" t="s">
        <v>36</v>
      </c>
      <c r="D12">
        <v>17</v>
      </c>
      <c r="E12">
        <v>25</v>
      </c>
      <c r="F12">
        <v>11</v>
      </c>
      <c r="G12">
        <v>27</v>
      </c>
      <c r="H12">
        <v>17</v>
      </c>
      <c r="I12" s="1">
        <v>0.6</v>
      </c>
      <c r="J12">
        <f t="shared" si="0"/>
        <v>97</v>
      </c>
      <c r="K12">
        <f t="shared" si="1"/>
        <v>19.399999999999999</v>
      </c>
      <c r="L12" t="str">
        <f t="shared" si="2"/>
        <v>Pass</v>
      </c>
      <c r="M12" t="str">
        <f t="shared" si="4"/>
        <v>A</v>
      </c>
      <c r="N12" t="str">
        <f t="shared" si="3"/>
        <v>Not Eligible</v>
      </c>
    </row>
    <row r="13" spans="1:14">
      <c r="A13">
        <v>112</v>
      </c>
      <c r="B13" t="s">
        <v>24</v>
      </c>
      <c r="C13" t="s">
        <v>34</v>
      </c>
      <c r="D13">
        <v>18</v>
      </c>
      <c r="E13">
        <v>27</v>
      </c>
      <c r="F13">
        <v>22</v>
      </c>
      <c r="G13">
        <v>11</v>
      </c>
      <c r="H13">
        <v>15</v>
      </c>
      <c r="I13" s="1">
        <v>0.9</v>
      </c>
      <c r="J13">
        <f t="shared" si="0"/>
        <v>93</v>
      </c>
      <c r="K13">
        <f t="shared" si="1"/>
        <v>18.600000000000001</v>
      </c>
      <c r="L13" t="str">
        <f t="shared" si="2"/>
        <v>Pass</v>
      </c>
      <c r="M13" t="str">
        <f t="shared" si="4"/>
        <v>A</v>
      </c>
      <c r="N13" t="str">
        <f t="shared" si="3"/>
        <v>Eligible</v>
      </c>
    </row>
    <row r="14" spans="1:14">
      <c r="A14">
        <v>113</v>
      </c>
      <c r="B14" t="s">
        <v>25</v>
      </c>
      <c r="C14" t="s">
        <v>37</v>
      </c>
      <c r="D14">
        <v>19</v>
      </c>
      <c r="E14">
        <v>10</v>
      </c>
      <c r="F14">
        <v>22</v>
      </c>
      <c r="G14">
        <v>20</v>
      </c>
      <c r="H14">
        <v>21</v>
      </c>
      <c r="I14" s="1">
        <v>0.82</v>
      </c>
      <c r="J14">
        <f t="shared" si="0"/>
        <v>92</v>
      </c>
      <c r="K14">
        <f t="shared" si="1"/>
        <v>18.399999999999999</v>
      </c>
      <c r="L14" t="str">
        <f t="shared" si="2"/>
        <v>Pass</v>
      </c>
      <c r="M14" t="str">
        <f t="shared" si="4"/>
        <v>A</v>
      </c>
      <c r="N14" t="str">
        <f t="shared" si="3"/>
        <v>Eligible</v>
      </c>
    </row>
    <row r="15" spans="1:14">
      <c r="A15">
        <v>114</v>
      </c>
      <c r="B15" t="s">
        <v>26</v>
      </c>
      <c r="C15" t="s">
        <v>35</v>
      </c>
      <c r="D15">
        <v>20</v>
      </c>
      <c r="E15">
        <v>11</v>
      </c>
      <c r="F15">
        <v>22</v>
      </c>
      <c r="G15">
        <v>25</v>
      </c>
      <c r="H15">
        <v>22</v>
      </c>
      <c r="I15" s="1">
        <v>0.81</v>
      </c>
      <c r="J15">
        <f t="shared" si="0"/>
        <v>100</v>
      </c>
      <c r="K15">
        <f t="shared" si="1"/>
        <v>20</v>
      </c>
      <c r="L15" t="str">
        <f t="shared" si="2"/>
        <v>Pass</v>
      </c>
      <c r="M15" t="str">
        <f t="shared" si="4"/>
        <v>A</v>
      </c>
      <c r="N15" t="str">
        <f t="shared" si="3"/>
        <v>Eligible</v>
      </c>
    </row>
    <row r="16" spans="1:14">
      <c r="A16">
        <v>115</v>
      </c>
      <c r="B16" t="s">
        <v>27</v>
      </c>
      <c r="C16" t="s">
        <v>33</v>
      </c>
      <c r="D16">
        <v>12</v>
      </c>
      <c r="E16">
        <v>20</v>
      </c>
      <c r="F16">
        <v>20</v>
      </c>
      <c r="G16">
        <v>18</v>
      </c>
      <c r="H16">
        <v>25</v>
      </c>
      <c r="I16" s="1">
        <v>0.66</v>
      </c>
      <c r="J16">
        <f t="shared" si="0"/>
        <v>95</v>
      </c>
      <c r="K16">
        <f t="shared" si="1"/>
        <v>19</v>
      </c>
      <c r="L16" t="str">
        <f t="shared" si="2"/>
        <v>Pass</v>
      </c>
      <c r="M16" t="str">
        <f t="shared" si="4"/>
        <v>A</v>
      </c>
      <c r="N16" t="str">
        <f t="shared" si="3"/>
        <v>Not Eligible</v>
      </c>
    </row>
    <row r="17" spans="1:14">
      <c r="A17">
        <v>116</v>
      </c>
      <c r="B17" t="s">
        <v>28</v>
      </c>
      <c r="C17" t="s">
        <v>36</v>
      </c>
      <c r="D17">
        <v>20</v>
      </c>
      <c r="E17">
        <v>11</v>
      </c>
      <c r="F17">
        <v>20</v>
      </c>
      <c r="G17">
        <v>32</v>
      </c>
      <c r="H17">
        <v>17</v>
      </c>
      <c r="I17" s="1">
        <v>0.73</v>
      </c>
      <c r="J17">
        <f t="shared" si="0"/>
        <v>100</v>
      </c>
      <c r="K17">
        <f t="shared" si="1"/>
        <v>20</v>
      </c>
      <c r="L17" t="str">
        <f t="shared" si="2"/>
        <v>Pass</v>
      </c>
      <c r="M17" t="str">
        <f t="shared" si="4"/>
        <v>A</v>
      </c>
      <c r="N17" t="str">
        <f t="shared" si="3"/>
        <v>Not Eligible</v>
      </c>
    </row>
    <row r="18" spans="1:14">
      <c r="A18">
        <v>117</v>
      </c>
      <c r="B18" t="s">
        <v>29</v>
      </c>
      <c r="C18" t="s">
        <v>35</v>
      </c>
      <c r="D18">
        <v>15</v>
      </c>
      <c r="E18">
        <v>11</v>
      </c>
      <c r="F18">
        <v>10</v>
      </c>
      <c r="G18">
        <v>11</v>
      </c>
      <c r="H18">
        <v>12</v>
      </c>
      <c r="I18" s="1">
        <v>0.53</v>
      </c>
      <c r="J18">
        <f t="shared" si="0"/>
        <v>59</v>
      </c>
      <c r="K18">
        <f t="shared" si="1"/>
        <v>11.8</v>
      </c>
      <c r="L18" t="str">
        <f t="shared" si="2"/>
        <v>Fail</v>
      </c>
      <c r="M18" t="str">
        <f t="shared" si="4"/>
        <v>C</v>
      </c>
      <c r="N18" t="str">
        <f t="shared" si="3"/>
        <v>Not Eligible</v>
      </c>
    </row>
    <row r="19" spans="1:14">
      <c r="A19">
        <v>118</v>
      </c>
      <c r="B19" t="s">
        <v>30</v>
      </c>
      <c r="C19" t="s">
        <v>34</v>
      </c>
      <c r="D19">
        <v>20</v>
      </c>
      <c r="E19">
        <v>10</v>
      </c>
      <c r="F19">
        <v>10</v>
      </c>
      <c r="G19">
        <v>10</v>
      </c>
      <c r="H19">
        <v>10</v>
      </c>
      <c r="I19" s="1">
        <v>0.76</v>
      </c>
      <c r="J19">
        <f t="shared" si="0"/>
        <v>60</v>
      </c>
      <c r="K19">
        <f t="shared" si="1"/>
        <v>12</v>
      </c>
      <c r="L19" t="str">
        <f t="shared" si="2"/>
        <v>Pass</v>
      </c>
      <c r="M19" t="str">
        <f t="shared" si="4"/>
        <v>C</v>
      </c>
      <c r="N19" t="str">
        <f t="shared" si="3"/>
        <v>Eligible</v>
      </c>
    </row>
    <row r="20" spans="1:14">
      <c r="A20">
        <v>119</v>
      </c>
      <c r="B20" t="s">
        <v>31</v>
      </c>
      <c r="C20" t="s">
        <v>37</v>
      </c>
      <c r="D20">
        <v>10</v>
      </c>
      <c r="E20">
        <v>10</v>
      </c>
      <c r="F20">
        <v>10</v>
      </c>
      <c r="G20">
        <v>10</v>
      </c>
      <c r="H20">
        <v>10</v>
      </c>
      <c r="I20" s="1">
        <v>0.81</v>
      </c>
      <c r="J20">
        <f t="shared" si="0"/>
        <v>50</v>
      </c>
      <c r="K20">
        <f t="shared" si="1"/>
        <v>10</v>
      </c>
      <c r="L20" t="str">
        <f t="shared" si="2"/>
        <v>Fail</v>
      </c>
      <c r="M20" t="str">
        <f t="shared" si="4"/>
        <v>C</v>
      </c>
      <c r="N20" t="str">
        <f t="shared" si="3"/>
        <v>Eligible</v>
      </c>
    </row>
    <row r="21" spans="1:14">
      <c r="A21">
        <v>120</v>
      </c>
      <c r="B21" t="s">
        <v>32</v>
      </c>
      <c r="C21" t="s">
        <v>33</v>
      </c>
      <c r="D21">
        <v>18</v>
      </c>
      <c r="E21">
        <v>11</v>
      </c>
      <c r="F21">
        <v>10</v>
      </c>
      <c r="G21">
        <v>11</v>
      </c>
      <c r="H21">
        <v>14</v>
      </c>
      <c r="I21" s="1">
        <v>0.92</v>
      </c>
      <c r="J21">
        <f t="shared" si="0"/>
        <v>64</v>
      </c>
      <c r="K21">
        <f t="shared" si="1"/>
        <v>12.8</v>
      </c>
      <c r="L21" t="str">
        <f t="shared" si="2"/>
        <v>Pass</v>
      </c>
      <c r="M21" t="str">
        <f t="shared" si="4"/>
        <v>C</v>
      </c>
      <c r="N21" t="str">
        <f t="shared" si="3"/>
        <v>Eligible</v>
      </c>
    </row>
    <row r="22" spans="1:14">
      <c r="A22">
        <v>121</v>
      </c>
      <c r="B22" t="s">
        <v>41</v>
      </c>
      <c r="C22" t="s">
        <v>36</v>
      </c>
      <c r="D22">
        <v>10</v>
      </c>
      <c r="E22">
        <v>11</v>
      </c>
      <c r="F22">
        <v>23</v>
      </c>
      <c r="G22">
        <v>16</v>
      </c>
      <c r="H22">
        <v>22</v>
      </c>
      <c r="I22" s="1">
        <v>0.75</v>
      </c>
      <c r="J22">
        <f t="shared" si="0"/>
        <v>82</v>
      </c>
      <c r="K22">
        <f t="shared" si="1"/>
        <v>16.399999999999999</v>
      </c>
      <c r="L22" t="str">
        <f t="shared" si="2"/>
        <v>Pass</v>
      </c>
      <c r="M22" t="str">
        <f t="shared" si="4"/>
        <v>B</v>
      </c>
      <c r="N22" t="str">
        <f t="shared" si="3"/>
        <v>Eligible</v>
      </c>
    </row>
    <row r="23" spans="1:14">
      <c r="A23">
        <v>122</v>
      </c>
      <c r="B23" t="s">
        <v>42</v>
      </c>
      <c r="C23" t="s">
        <v>34</v>
      </c>
      <c r="D23">
        <v>12</v>
      </c>
      <c r="E23">
        <v>10</v>
      </c>
      <c r="F23">
        <v>11</v>
      </c>
      <c r="G23">
        <v>25</v>
      </c>
      <c r="H23">
        <v>22</v>
      </c>
      <c r="I23" s="1">
        <v>0.55000000000000004</v>
      </c>
      <c r="J23">
        <f t="shared" si="0"/>
        <v>80</v>
      </c>
      <c r="K23">
        <f t="shared" si="1"/>
        <v>16</v>
      </c>
      <c r="L23" t="str">
        <f t="shared" si="2"/>
        <v>Pass</v>
      </c>
      <c r="M23" t="str">
        <f t="shared" si="4"/>
        <v>B</v>
      </c>
      <c r="N23" t="str">
        <f t="shared" si="3"/>
        <v>Not Eligible</v>
      </c>
    </row>
    <row r="24" spans="1:14">
      <c r="A24">
        <v>123</v>
      </c>
      <c r="B24" t="s">
        <v>43</v>
      </c>
      <c r="C24" t="s">
        <v>35</v>
      </c>
      <c r="D24">
        <v>12</v>
      </c>
      <c r="E24">
        <v>12</v>
      </c>
      <c r="F24">
        <v>11</v>
      </c>
      <c r="G24">
        <v>14</v>
      </c>
      <c r="H24">
        <v>21</v>
      </c>
      <c r="I24" s="1">
        <v>0.6</v>
      </c>
      <c r="J24">
        <f t="shared" si="0"/>
        <v>70</v>
      </c>
      <c r="K24">
        <f t="shared" si="1"/>
        <v>14</v>
      </c>
      <c r="L24" t="str">
        <f t="shared" si="2"/>
        <v>Pass</v>
      </c>
      <c r="M24" t="str">
        <f t="shared" si="4"/>
        <v>B</v>
      </c>
      <c r="N24" t="str">
        <f t="shared" si="3"/>
        <v>Not Eligible</v>
      </c>
    </row>
    <row r="25" spans="1:14">
      <c r="A25">
        <v>124</v>
      </c>
      <c r="B25" t="s">
        <v>44</v>
      </c>
      <c r="C25" t="s">
        <v>37</v>
      </c>
      <c r="D25">
        <v>15</v>
      </c>
      <c r="E25">
        <v>10</v>
      </c>
      <c r="F25">
        <v>11</v>
      </c>
      <c r="G25">
        <v>21</v>
      </c>
      <c r="H25">
        <v>22</v>
      </c>
      <c r="I25" s="1">
        <v>0.76</v>
      </c>
      <c r="J25">
        <f t="shared" si="0"/>
        <v>79</v>
      </c>
      <c r="K25">
        <f t="shared" si="1"/>
        <v>15.8</v>
      </c>
      <c r="L25" t="str">
        <f t="shared" si="2"/>
        <v>Pass</v>
      </c>
      <c r="M25" t="str">
        <f t="shared" si="4"/>
        <v>B</v>
      </c>
      <c r="N25" t="str">
        <f t="shared" si="3"/>
        <v>Eligible</v>
      </c>
    </row>
    <row r="26" spans="1:14">
      <c r="A26">
        <v>125</v>
      </c>
      <c r="B26" t="s">
        <v>45</v>
      </c>
      <c r="C26" t="s">
        <v>33</v>
      </c>
      <c r="D26">
        <v>16</v>
      </c>
      <c r="E26">
        <v>22</v>
      </c>
      <c r="F26">
        <v>21</v>
      </c>
      <c r="G26">
        <v>10</v>
      </c>
      <c r="H26">
        <v>11</v>
      </c>
      <c r="I26" s="1">
        <v>0.88</v>
      </c>
      <c r="J26">
        <f t="shared" si="0"/>
        <v>80</v>
      </c>
      <c r="K26">
        <f t="shared" si="1"/>
        <v>16</v>
      </c>
      <c r="L26" t="str">
        <f t="shared" si="2"/>
        <v>Pass</v>
      </c>
      <c r="M26" t="str">
        <f t="shared" si="4"/>
        <v>B</v>
      </c>
      <c r="N26" t="str">
        <f t="shared" si="3"/>
        <v>Eligible</v>
      </c>
    </row>
    <row r="27" spans="1:14">
      <c r="A27">
        <v>126</v>
      </c>
      <c r="B27" t="s">
        <v>46</v>
      </c>
      <c r="C27" t="s">
        <v>36</v>
      </c>
      <c r="D27">
        <v>22</v>
      </c>
      <c r="E27">
        <v>24</v>
      </c>
      <c r="F27">
        <v>14</v>
      </c>
      <c r="G27">
        <v>16</v>
      </c>
      <c r="H27">
        <v>22</v>
      </c>
      <c r="I27" s="1">
        <v>0.9</v>
      </c>
      <c r="J27">
        <f t="shared" si="0"/>
        <v>98</v>
      </c>
      <c r="K27">
        <f t="shared" si="1"/>
        <v>19.600000000000001</v>
      </c>
      <c r="L27" t="str">
        <f t="shared" si="2"/>
        <v>Pass</v>
      </c>
      <c r="M27" t="str">
        <f t="shared" si="4"/>
        <v>A</v>
      </c>
      <c r="N27" t="str">
        <f t="shared" si="3"/>
        <v>Eligible</v>
      </c>
    </row>
    <row r="28" spans="1:14">
      <c r="A28">
        <v>127</v>
      </c>
      <c r="B28" t="s">
        <v>47</v>
      </c>
      <c r="C28" t="s">
        <v>35</v>
      </c>
      <c r="D28">
        <v>12</v>
      </c>
      <c r="E28">
        <v>14</v>
      </c>
      <c r="F28">
        <v>15</v>
      </c>
      <c r="G28">
        <v>16</v>
      </c>
      <c r="H28">
        <v>11</v>
      </c>
      <c r="I28" s="1">
        <v>0.6</v>
      </c>
      <c r="J28">
        <f t="shared" si="0"/>
        <v>68</v>
      </c>
      <c r="K28">
        <f t="shared" si="1"/>
        <v>13.6</v>
      </c>
      <c r="L28" t="str">
        <f t="shared" si="2"/>
        <v>Pass</v>
      </c>
      <c r="M28" t="str">
        <f t="shared" si="4"/>
        <v>C</v>
      </c>
      <c r="N28" t="str">
        <f t="shared" si="3"/>
        <v>Not Eligible</v>
      </c>
    </row>
    <row r="29" spans="1:14">
      <c r="A29">
        <v>128</v>
      </c>
      <c r="B29" t="s">
        <v>48</v>
      </c>
      <c r="C29" t="s">
        <v>34</v>
      </c>
      <c r="D29">
        <v>15</v>
      </c>
      <c r="E29">
        <v>21</v>
      </c>
      <c r="F29">
        <v>11</v>
      </c>
      <c r="G29">
        <v>15</v>
      </c>
      <c r="H29">
        <v>11</v>
      </c>
      <c r="I29" s="1">
        <v>0.45</v>
      </c>
      <c r="J29">
        <f t="shared" si="0"/>
        <v>73</v>
      </c>
      <c r="K29">
        <f t="shared" si="1"/>
        <v>14.6</v>
      </c>
      <c r="L29" t="str">
        <f t="shared" si="2"/>
        <v>Pass</v>
      </c>
      <c r="M29" t="str">
        <f t="shared" si="4"/>
        <v>B</v>
      </c>
      <c r="N29" t="str">
        <f t="shared" si="3"/>
        <v>Not Eligible</v>
      </c>
    </row>
    <row r="30" spans="1:14">
      <c r="A30">
        <v>129</v>
      </c>
      <c r="B30" t="s">
        <v>49</v>
      </c>
      <c r="C30" t="s">
        <v>33</v>
      </c>
      <c r="D30">
        <v>17</v>
      </c>
      <c r="E30">
        <v>16</v>
      </c>
      <c r="F30">
        <v>18</v>
      </c>
      <c r="G30">
        <v>13</v>
      </c>
      <c r="H30">
        <v>17</v>
      </c>
      <c r="I30" s="1">
        <v>0.75</v>
      </c>
      <c r="J30">
        <f t="shared" si="0"/>
        <v>81</v>
      </c>
      <c r="K30">
        <f t="shared" si="1"/>
        <v>16.2</v>
      </c>
      <c r="L30" t="str">
        <f t="shared" si="2"/>
        <v>Pass</v>
      </c>
      <c r="M30" t="str">
        <f t="shared" si="4"/>
        <v>B</v>
      </c>
      <c r="N30" t="str">
        <f t="shared" si="3"/>
        <v>Eligible</v>
      </c>
    </row>
    <row r="31" spans="1:14">
      <c r="A31">
        <v>130</v>
      </c>
      <c r="B31" t="s">
        <v>50</v>
      </c>
      <c r="C31" t="s">
        <v>37</v>
      </c>
      <c r="D31">
        <v>10</v>
      </c>
      <c r="E31">
        <v>10</v>
      </c>
      <c r="F31">
        <v>10</v>
      </c>
      <c r="G31">
        <v>10</v>
      </c>
      <c r="H31">
        <v>10</v>
      </c>
      <c r="I31" s="1">
        <v>0.5</v>
      </c>
      <c r="J31">
        <f t="shared" si="0"/>
        <v>50</v>
      </c>
      <c r="K31">
        <f t="shared" si="1"/>
        <v>10</v>
      </c>
      <c r="L31" t="str">
        <f t="shared" si="2"/>
        <v>Fail</v>
      </c>
      <c r="M31" t="str">
        <f t="shared" si="4"/>
        <v>C</v>
      </c>
      <c r="N31" t="str">
        <f t="shared" si="3"/>
        <v>Not Eligible</v>
      </c>
    </row>
  </sheetData>
  <conditionalFormatting sqref="N2:N31">
    <cfRule type="cellIs" dxfId="1" priority="2" operator="equal">
      <formula>"Not Eligible"</formula>
    </cfRule>
  </conditionalFormatting>
  <conditionalFormatting sqref="N2:N33">
    <cfRule type="cellIs" dxfId="0" priority="1" operator="equal">
      <formula>"Eligible"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sheet2</vt:lpstr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Zubairkaka Madras</dc:creator>
  <cp:lastModifiedBy>Zubairkaka Madras</cp:lastModifiedBy>
  <cp:revision/>
  <dcterms:created xsi:type="dcterms:W3CDTF">2026-02-07T15:37:49Z</dcterms:created>
  <dcterms:modified xsi:type="dcterms:W3CDTF">2026-02-08T08:19:12Z</dcterms:modified>
</cp:coreProperties>
</file>